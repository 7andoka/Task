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haled.Shaaban\Desktop\"/>
    </mc:Choice>
  </mc:AlternateContent>
  <xr:revisionPtr revIDLastSave="0" documentId="13_ncr:1_{B8EF7C90-2C23-4CE9-AEDB-6BF953B104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I5" i="1" s="1"/>
  <c r="G5" i="1"/>
  <c r="N5" i="1" l="1"/>
  <c r="O5" i="1" s="1"/>
</calcChain>
</file>

<file path=xl/sharedStrings.xml><?xml version="1.0" encoding="utf-8"?>
<sst xmlns="http://schemas.openxmlformats.org/spreadsheetml/2006/main" count="24" uniqueCount="23">
  <si>
    <t>التاريخ</t>
  </si>
  <si>
    <t xml:space="preserve">كود ساب مدخل </t>
  </si>
  <si>
    <t xml:space="preserve">اسم الصنف مدخل </t>
  </si>
  <si>
    <t xml:space="preserve">الكمية مدخل </t>
  </si>
  <si>
    <t>كود ساب  مخرج</t>
  </si>
  <si>
    <t xml:space="preserve">اسم الصنف  مخرج </t>
  </si>
  <si>
    <t xml:space="preserve">الكمية  مخرج </t>
  </si>
  <si>
    <t xml:space="preserve">سعر التشغيل </t>
  </si>
  <si>
    <t>اجمالى سعر التشغيل</t>
  </si>
  <si>
    <t xml:space="preserve">كود المورد </t>
  </si>
  <si>
    <t xml:space="preserve">المورد </t>
  </si>
  <si>
    <t xml:space="preserve">كود المخزن </t>
  </si>
  <si>
    <t xml:space="preserve">ملاحظات </t>
  </si>
  <si>
    <t>الفرق</t>
  </si>
  <si>
    <t>النسبة</t>
  </si>
  <si>
    <t>السعر</t>
  </si>
  <si>
    <t>الاجمالي</t>
  </si>
  <si>
    <t>بيكوال اخضر .  مطبوخ - 280 : 300</t>
  </si>
  <si>
    <t>بيكوال اخضر شرائح  مطبوخ - 280 : 300</t>
  </si>
  <si>
    <t>بيكوال مطبوخ -فرزة شرائح</t>
  </si>
  <si>
    <t>الهالك</t>
  </si>
  <si>
    <t>البذرة</t>
  </si>
  <si>
    <t>جولدن فودز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</si>
</sst>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3" borderId="0" xfId="1" applyNumberFormat="1" applyFont="1" applyFill="1" applyAlignment="1">
      <alignment horizontal="center" vertical="center"/>
    </xf>
    <xf numFmtId="9" fontId="2" fillId="3" borderId="0" xfId="1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" fontId="5" fillId="6" borderId="3" xfId="0" applyNumberFormat="1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rightToLeft="1" tabSelected="1" topLeftCell="G1" workbookViewId="0">
      <selection activeCell="C12" sqref="C12"/>
    </sheetView>
  </sheetViews>
  <sheetFormatPr defaultColWidth="8.81640625" defaultRowHeight="14.5" x14ac:dyDescent="0.35"/>
  <cols>
    <col min="1" max="1" width="7" style="1" bestFit="1" customWidth="1"/>
    <col min="2" max="2" width="12.7265625" style="1" bestFit="1" customWidth="1"/>
    <col min="3" max="3" width="28.26953125" style="1" bestFit="1" customWidth="1"/>
    <col min="4" max="4" width="10.1796875" style="1" bestFit="1" customWidth="1"/>
    <col min="5" max="5" width="12.453125" style="1" customWidth="1"/>
    <col min="6" max="6" width="32.1796875" style="1" bestFit="1" customWidth="1"/>
    <col min="7" max="7" width="10.26953125" style="1" bestFit="1" customWidth="1"/>
    <col min="8" max="8" width="10.453125" style="1" bestFit="1" customWidth="1"/>
    <col min="9" max="9" width="16" style="1" customWidth="1"/>
    <col min="10" max="10" width="13.7265625" style="1" customWidth="1"/>
    <col min="11" max="11" width="15.54296875" style="1" customWidth="1"/>
    <col min="12" max="12" width="9.453125" style="1" bestFit="1" customWidth="1"/>
    <col min="13" max="13" width="8" style="1" bestFit="1" customWidth="1"/>
    <col min="14" max="14" width="5.7265625" style="1" bestFit="1" customWidth="1"/>
    <col min="15" max="15" width="6" style="1" bestFit="1" customWidth="1"/>
    <col min="16" max="16" width="5" style="1" bestFit="1" customWidth="1"/>
    <col min="17" max="16384" width="8.81640625" style="1"/>
  </cols>
  <sheetData>
    <row r="1" spans="1:16" ht="20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</row>
    <row r="2" spans="1:16" x14ac:dyDescent="0.35">
      <c r="A2" s="10">
        <v>46182</v>
      </c>
      <c r="B2" s="1">
        <v>12000148</v>
      </c>
      <c r="C2" s="1" t="s">
        <v>17</v>
      </c>
      <c r="D2" s="8">
        <v>6794</v>
      </c>
      <c r="E2" s="1">
        <v>12000050</v>
      </c>
      <c r="F2" s="1" t="s">
        <v>18</v>
      </c>
      <c r="G2" s="9">
        <v>4060</v>
      </c>
      <c r="J2" s="12">
        <v>2111002374</v>
      </c>
      <c r="K2" s="11" t="s">
        <v>22</v>
      </c>
      <c r="L2" s="13">
        <v>3133</v>
      </c>
    </row>
    <row r="3" spans="1:16" x14ac:dyDescent="0.35">
      <c r="B3" s="1" t="s">
        <v>20</v>
      </c>
      <c r="C3" s="1">
        <v>215</v>
      </c>
      <c r="E3" s="1">
        <v>12000050</v>
      </c>
      <c r="F3" s="1" t="s">
        <v>18</v>
      </c>
      <c r="G3" s="9">
        <v>117</v>
      </c>
    </row>
    <row r="4" spans="1:16" x14ac:dyDescent="0.35">
      <c r="B4" s="1" t="s">
        <v>21</v>
      </c>
      <c r="C4" s="1">
        <v>2150</v>
      </c>
      <c r="E4" s="1">
        <v>13000121</v>
      </c>
      <c r="F4" s="1" t="s">
        <v>19</v>
      </c>
      <c r="G4" s="9">
        <v>145</v>
      </c>
    </row>
    <row r="5" spans="1:16" x14ac:dyDescent="0.35">
      <c r="A5" s="4" t="s">
        <v>16</v>
      </c>
      <c r="B5" s="4"/>
      <c r="C5" s="4"/>
      <c r="D5" s="4">
        <f>SUM(D2:D4)</f>
        <v>6794</v>
      </c>
      <c r="E5" s="4"/>
      <c r="F5" s="4"/>
      <c r="G5" s="5">
        <f>SUM(G2:G4)</f>
        <v>4322</v>
      </c>
      <c r="H5" s="4">
        <v>2</v>
      </c>
      <c r="I5" s="4">
        <f>H5*D5</f>
        <v>13588</v>
      </c>
      <c r="J5" s="4"/>
      <c r="K5" s="4"/>
      <c r="L5" s="4"/>
      <c r="M5" s="4"/>
      <c r="N5" s="4">
        <f>D5-G5</f>
        <v>2472</v>
      </c>
      <c r="O5" s="6">
        <f>N5/D5</f>
        <v>0.36385045628495732</v>
      </c>
      <c r="P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MeNoO</dc:creator>
  <cp:lastModifiedBy>Khaled Shaaban</cp:lastModifiedBy>
  <dcterms:created xsi:type="dcterms:W3CDTF">2015-06-05T18:17:20Z</dcterms:created>
  <dcterms:modified xsi:type="dcterms:W3CDTF">2026-07-13T08:50:37Z</dcterms:modified>
</cp:coreProperties>
</file>